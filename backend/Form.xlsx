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<sst xmlns="http://schemas.openxmlformats.org/spreadsheetml/2006/main" count="79" uniqueCount="64">
  <si>
    <t xml:space="preserve">Republic of the Philippines</t>
  </si>
  <si>
    <t xml:space="preserve">WATER ANALYSIS LABORATORY</t>
  </si>
  <si>
    <t xml:space="preserve">ZAMBOANGA CITY WATER DISTRICT</t>
  </si>
  <si>
    <t xml:space="preserve">Water Treatment Plant</t>
  </si>
  <si>
    <t xml:space="preserve">Zamboanga City</t>
  </si>
  <si>
    <t xml:space="preserve">Pasonanca, Zamboanga City</t>
  </si>
  <si>
    <t xml:space="preserve">PASSED</t>
  </si>
  <si>
    <t xml:space="preserve">FAILED</t>
  </si>
  <si>
    <t xml:space="preserve">Tel no. (062) 957-4650</t>
  </si>
  <si>
    <t xml:space="preserve"> e-mail add: zcwdlaboratory@yahoo.com</t>
  </si>
  <si>
    <t xml:space="preserve">        REPORT OF ANALYSIS</t>
  </si>
  <si>
    <t xml:space="preserve">Client</t>
  </si>
  <si>
    <t xml:space="preserve">:</t>
  </si>
  <si>
    <t xml:space="preserve">Source  </t>
  </si>
  <si>
    <t xml:space="preserve">FILE # :</t>
  </si>
  <si>
    <t xml:space="preserve">Location </t>
  </si>
  <si>
    <t xml:space="preserve">O.R. # :</t>
  </si>
  <si>
    <t xml:space="preserve">Date Collected </t>
  </si>
  <si>
    <t xml:space="preserve">Date Submitted :</t>
  </si>
  <si>
    <t xml:space="preserve">Date Analyzed </t>
  </si>
  <si>
    <t xml:space="preserve">Collected By :</t>
  </si>
  <si>
    <t xml:space="preserve">PHYSICAL AND CHEMICAL ANALYSES</t>
  </si>
  <si>
    <t xml:space="preserve">Parameter</t>
  </si>
  <si>
    <t xml:space="preserve">Results</t>
  </si>
  <si>
    <t xml:space="preserve">PNSDW</t>
  </si>
  <si>
    <t xml:space="preserve">Remarks</t>
  </si>
  <si>
    <t xml:space="preserve">METHOD OF ANALYSIS</t>
  </si>
  <si>
    <t xml:space="preserve">pH</t>
  </si>
  <si>
    <t xml:space="preserve">6.5 - 8.5</t>
  </si>
  <si>
    <t xml:space="preserve">Electrometric Method</t>
  </si>
  <si>
    <t xml:space="preserve">Turbidity</t>
  </si>
  <si>
    <t xml:space="preserve">NTU</t>
  </si>
  <si>
    <t xml:space="preserve">Turbidimetry</t>
  </si>
  <si>
    <t xml:space="preserve">Color</t>
  </si>
  <si>
    <t xml:space="preserve">TCU</t>
  </si>
  <si>
    <t xml:space="preserve">Platinum - Cobalt Standard Method</t>
  </si>
  <si>
    <t xml:space="preserve">Iron</t>
  </si>
  <si>
    <t xml:space="preserve">mg/L</t>
  </si>
  <si>
    <t xml:space="preserve">Colorimetry (Ferro Ver Method)</t>
  </si>
  <si>
    <t xml:space="preserve">Chloride</t>
  </si>
  <si>
    <t xml:space="preserve">Titration Method</t>
  </si>
  <si>
    <t xml:space="preserve">Copper</t>
  </si>
  <si>
    <t xml:space="preserve">Colorimetry (Bicinchoninate Method)</t>
  </si>
  <si>
    <t xml:space="preserve">Chromium</t>
  </si>
  <si>
    <t xml:space="preserve">Colorimetry (1,5 - Diphenylcarbohydrazide Method)</t>
  </si>
  <si>
    <t xml:space="preserve">Manganese</t>
  </si>
  <si>
    <t xml:space="preserve">Colorimetry (Periodate Oxidation Method)</t>
  </si>
  <si>
    <t xml:space="preserve">Total Hardness</t>
  </si>
  <si>
    <t xml:space="preserve">EDTA Titration Method</t>
  </si>
  <si>
    <t xml:space="preserve">Sulfate</t>
  </si>
  <si>
    <t xml:space="preserve">Colorimetry (Sulfa Ver 4 Method)</t>
  </si>
  <si>
    <t xml:space="preserve">Nitrate</t>
  </si>
  <si>
    <t xml:space="preserve">Colorimetry (Cadmium Reduction Method)</t>
  </si>
  <si>
    <t xml:space="preserve">Nitrite</t>
  </si>
  <si>
    <t xml:space="preserve">Colorimetry (Diazotization Method)</t>
  </si>
  <si>
    <t xml:space="preserve">Total Dissolved Solids</t>
  </si>
  <si>
    <t xml:space="preserve">Conductivity Method</t>
  </si>
  <si>
    <t xml:space="preserve">REMARK(S) :</t>
  </si>
  <si>
    <t xml:space="preserve">The results indicated in this report only pertain to the client's submitted water sample. Hence, this report shall not be used as an approval, disapproval and/or endorsement of any product from which the water sample was obtained.</t>
  </si>
  <si>
    <t xml:space="preserve">*PNSDW= Philippine National Standards for Drinking Water (2017)</t>
  </si>
  <si>
    <t xml:space="preserve">ANALYZED AND EXAMINED BY:</t>
  </si>
  <si>
    <t xml:space="preserve">CERTIFIED CORRECT:</t>
  </si>
  <si>
    <t xml:space="preserve">        Eric V. Salaritan</t>
  </si>
  <si>
    <r>
      <rPr>
        <sz val="12"/>
        <rFont val="Calibri"/>
        <family val="2"/>
        <charset val="1"/>
      </rPr>
      <t xml:space="preserve">     </t>
    </r>
    <r>
      <rPr>
        <sz val="11"/>
        <rFont val="Calibri"/>
        <family val="2"/>
        <charset val="1"/>
      </rPr>
      <t xml:space="preserve">Quality Control Chief/OIC, WQD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</si>
</sst>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[$-409]mmmm\ d&quot;, &quot;yyyy;@"/>
    <numFmt numFmtId="167" formatCode="#,##0.000"/>
    <numFmt numFmtId="168" formatCode="General"/>
    <numFmt numFmtId="169" formatCode="0.000"/>
    <numFmt numFmtId="170" formatCode="#,##0.0000"/>
  </numFmts>
  <fonts count="2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12"/>
      <name val="Monotype Corsiva"/>
      <family val="4"/>
      <charset val="1"/>
    </font>
    <font>
      <b val="true"/>
      <sz val="12"/>
      <name val="Calibri"/>
      <family val="2"/>
      <charset val="1"/>
    </font>
    <font>
      <sz val="11"/>
      <name val="Calibri"/>
      <family val="2"/>
      <charset val="1"/>
    </font>
    <font>
      <sz val="12"/>
      <name val="Arial"/>
      <family val="2"/>
      <charset val="1"/>
    </font>
    <font>
      <sz val="12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4"/>
      <name val="Calibri"/>
      <family val="2"/>
      <charset val="1"/>
    </font>
    <font>
      <sz val="8"/>
      <name val="Calibri"/>
      <family val="2"/>
      <charset val="1"/>
    </font>
    <font>
      <sz val="8"/>
      <name val="Arial"/>
      <family val="2"/>
      <charset val="1"/>
    </font>
    <font>
      <sz val="1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name val="Calibri"/>
      <family val="2"/>
      <charset val="1"/>
    </font>
    <font>
      <sz val="9"/>
      <name val="Calibri"/>
      <family val="2"/>
      <charset val="1"/>
    </font>
    <font>
      <sz val="14"/>
      <name val="Calibri"/>
      <family val="2"/>
      <charset val="1"/>
    </font>
    <font>
      <b val="true"/>
      <i val="true"/>
      <sz val="9"/>
      <name val="Calibri"/>
      <family val="2"/>
      <charset val="1"/>
    </font>
    <font>
      <sz val="12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47"/>
  <sheetViews>
    <sheetView showFormulas="false" showGridLines="true" showRowColHeaders="true" showZeros="true" rightToLeft="false" tabSelected="true" showOutlineSymbols="true" defaultGridColor="true" view="normal" topLeftCell="A31" colorId="64" zoomScale="110" zoomScaleNormal="110" zoomScalePageLayoutView="100" workbookViewId="0">
      <selection pane="topLeft" activeCell="T42" activeCellId="0" sqref="T42"/>
    </sheetView>
  </sheetViews>
  <sheetFormatPr defaultColWidth="8.7578125" defaultRowHeight="12.7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3.14"/>
    <col collapsed="false" customWidth="true" hidden="false" outlineLevel="0" max="3" min="3" style="0" width="3.71"/>
    <col collapsed="false" customWidth="true" hidden="false" outlineLevel="0" max="4" min="4" style="0" width="2.99"/>
    <col collapsed="false" customWidth="true" hidden="false" outlineLevel="0" max="5" min="5" style="0" width="8"/>
    <col collapsed="false" customWidth="true" hidden="false" outlineLevel="0" max="6" min="6" style="0" width="4.14"/>
    <col collapsed="false" customWidth="true" hidden="false" outlineLevel="0" max="7" min="7" style="0" width="2.14"/>
    <col collapsed="false" customWidth="true" hidden="false" outlineLevel="0" max="8" min="8" style="0" width="8"/>
    <col collapsed="false" customWidth="true" hidden="false" outlineLevel="0" max="9" min="9" style="0" width="2"/>
    <col collapsed="false" customWidth="true" hidden="false" outlineLevel="0" max="10" min="10" style="0" width="7.71"/>
    <col collapsed="false" customWidth="true" hidden="false" outlineLevel="0" max="11" min="11" style="0" width="1"/>
    <col collapsed="false" customWidth="true" hidden="false" outlineLevel="0" max="12" min="12" style="0" width="11.14"/>
    <col collapsed="false" customWidth="true" hidden="false" outlineLevel="0" max="13" min="13" style="0" width="2.57"/>
    <col collapsed="false" customWidth="true" hidden="false" outlineLevel="0" max="14" min="14" style="0" width="7.2"/>
    <col collapsed="false" customWidth="true" hidden="false" outlineLevel="0" max="15" min="15" style="0" width="6.42"/>
    <col collapsed="false" customWidth="true" hidden="false" outlineLevel="0" max="16" min="16" style="0" width="2.71"/>
    <col collapsed="false" customWidth="true" hidden="false" outlineLevel="0" max="17" min="17" style="0" width="3.86"/>
    <col collapsed="false" customWidth="true" hidden="false" outlineLevel="0" max="18" min="18" style="0" width="6.08"/>
    <col collapsed="false" customWidth="true" hidden="false" outlineLevel="0" max="19" min="19" style="0" width="19.3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3"/>
      <c r="M1" s="3"/>
      <c r="N1" s="4" t="s">
        <v>1</v>
      </c>
      <c r="O1" s="4"/>
      <c r="P1" s="4"/>
      <c r="Q1" s="4"/>
      <c r="R1" s="4"/>
      <c r="S1" s="4"/>
      <c r="U1" s="3"/>
      <c r="V1" s="4"/>
      <c r="W1" s="4"/>
      <c r="X1" s="4"/>
      <c r="Y1" s="4"/>
      <c r="Z1" s="4"/>
      <c r="AA1" s="4"/>
      <c r="AB1" s="3"/>
      <c r="AC1" s="3"/>
      <c r="AD1" s="3"/>
      <c r="AE1" s="3"/>
      <c r="AF1" s="3"/>
      <c r="AG1" s="3"/>
      <c r="AH1" s="3"/>
      <c r="AI1" s="3"/>
    </row>
    <row r="2" customFormat="false" ht="15" hidden="false" customHeight="false" outlineLevel="0" collapsed="false">
      <c r="A2" s="5" t="s">
        <v>2</v>
      </c>
      <c r="B2" s="5"/>
      <c r="C2" s="5"/>
      <c r="D2" s="5"/>
      <c r="E2" s="5"/>
      <c r="F2" s="5"/>
      <c r="G2" s="5"/>
      <c r="H2" s="5"/>
      <c r="I2" s="5"/>
      <c r="J2" s="6"/>
      <c r="K2" s="6"/>
      <c r="L2" s="5"/>
      <c r="M2" s="5"/>
      <c r="N2" s="7" t="s">
        <v>3</v>
      </c>
      <c r="O2" s="7"/>
      <c r="P2" s="7"/>
      <c r="Q2" s="7"/>
      <c r="R2" s="7"/>
      <c r="S2" s="7"/>
      <c r="U2" s="5"/>
      <c r="V2" s="7"/>
      <c r="W2" s="7"/>
      <c r="X2" s="7"/>
      <c r="Y2" s="7"/>
      <c r="Z2" s="7"/>
      <c r="AA2" s="7"/>
      <c r="AB2" s="3"/>
      <c r="AC2" s="3"/>
      <c r="AD2" s="3"/>
      <c r="AE2" s="3"/>
      <c r="AF2" s="3"/>
      <c r="AG2" s="3"/>
      <c r="AH2" s="3"/>
      <c r="AI2" s="3"/>
    </row>
    <row r="3" customFormat="false" ht="15" hidden="false" customHeight="false" outlineLevel="0" collapsed="false">
      <c r="A3" s="1" t="s">
        <v>4</v>
      </c>
      <c r="B3" s="1"/>
      <c r="C3" s="1"/>
      <c r="D3" s="1"/>
      <c r="E3" s="1"/>
      <c r="F3" s="1"/>
      <c r="G3" s="1"/>
      <c r="H3" s="1"/>
      <c r="I3" s="2"/>
      <c r="J3" s="2"/>
      <c r="K3" s="2"/>
      <c r="L3" s="3"/>
      <c r="M3" s="3"/>
      <c r="N3" s="7" t="s">
        <v>5</v>
      </c>
      <c r="O3" s="7"/>
      <c r="P3" s="7"/>
      <c r="Q3" s="7"/>
      <c r="R3" s="7"/>
      <c r="S3" s="7"/>
      <c r="U3" s="3"/>
      <c r="V3" s="7"/>
      <c r="W3" s="7"/>
      <c r="X3" s="7"/>
      <c r="Y3" s="7"/>
      <c r="Z3" s="7"/>
      <c r="AA3" s="7"/>
      <c r="AB3" s="3"/>
      <c r="AC3" s="3"/>
      <c r="AD3" s="3"/>
      <c r="AE3" s="3"/>
      <c r="AF3" s="3"/>
      <c r="AG3" s="3"/>
      <c r="AH3" s="3"/>
      <c r="AI3" s="3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9" t="s">
        <v>6</v>
      </c>
      <c r="I4" s="9"/>
      <c r="J4" s="9"/>
      <c r="K4" s="9"/>
      <c r="L4" s="9" t="s">
        <v>7</v>
      </c>
      <c r="M4" s="10"/>
      <c r="N4" s="7" t="s">
        <v>8</v>
      </c>
      <c r="O4" s="7"/>
      <c r="P4" s="7"/>
      <c r="Q4" s="7"/>
      <c r="R4" s="7"/>
      <c r="S4" s="7"/>
      <c r="U4" s="10"/>
      <c r="V4" s="7"/>
      <c r="W4" s="7"/>
      <c r="X4" s="7"/>
      <c r="Y4" s="7"/>
      <c r="Z4" s="7"/>
      <c r="AA4" s="7"/>
    </row>
    <row r="5" customFormat="false" ht="18.75" hidden="false" customHeight="true" outlineLevel="0" collapsed="false">
      <c r="A5" s="11"/>
      <c r="B5" s="11"/>
      <c r="C5" s="11"/>
      <c r="D5" s="11"/>
      <c r="E5" s="11"/>
      <c r="F5" s="11"/>
      <c r="G5" s="11"/>
      <c r="H5" s="12"/>
      <c r="I5" s="12"/>
      <c r="J5" s="12"/>
      <c r="K5" s="12"/>
      <c r="L5" s="12"/>
      <c r="M5" s="13" t="s">
        <v>9</v>
      </c>
      <c r="N5" s="13"/>
      <c r="O5" s="13"/>
      <c r="P5" s="13"/>
      <c r="Q5" s="13"/>
      <c r="R5" s="13"/>
      <c r="S5" s="13"/>
      <c r="U5" s="14"/>
      <c r="V5" s="14"/>
      <c r="W5" s="14"/>
      <c r="X5" s="14"/>
      <c r="Y5" s="14"/>
      <c r="Z5" s="14"/>
      <c r="AA5" s="14"/>
    </row>
    <row r="6" customFormat="false" ht="17.35" hidden="false" customHeight="false" outlineLevel="0" collapsed="false">
      <c r="A6" s="15" t="s">
        <v>7</v>
      </c>
      <c r="B6" s="15" t="s">
        <v>6</v>
      </c>
      <c r="C6" s="16"/>
      <c r="D6" s="16"/>
      <c r="E6" s="17"/>
      <c r="F6" s="17"/>
      <c r="G6" s="17"/>
      <c r="H6" s="18" t="s">
        <v>10</v>
      </c>
      <c r="I6" s="18"/>
      <c r="J6" s="18"/>
      <c r="K6" s="18"/>
      <c r="L6" s="18"/>
      <c r="M6" s="18"/>
      <c r="N6" s="18"/>
      <c r="O6" s="19"/>
      <c r="P6" s="19"/>
      <c r="Q6" s="19"/>
      <c r="R6" s="19"/>
      <c r="S6" s="19"/>
    </row>
    <row r="7" customFormat="false" ht="12.75" hidden="false" customHeight="false" outlineLevel="0" collapsed="false">
      <c r="A7" s="17"/>
      <c r="B7" s="17"/>
      <c r="C7" s="17"/>
      <c r="D7" s="17"/>
      <c r="E7" s="17"/>
      <c r="F7" s="17"/>
      <c r="G7" s="17"/>
      <c r="H7" s="20"/>
      <c r="I7" s="20"/>
      <c r="J7" s="20"/>
      <c r="K7" s="20"/>
      <c r="L7" s="20"/>
      <c r="M7" s="17"/>
      <c r="N7" s="21"/>
      <c r="O7" s="22"/>
      <c r="P7" s="22"/>
      <c r="Q7" s="22"/>
      <c r="R7" s="22"/>
      <c r="S7" s="22"/>
    </row>
    <row r="8" customFormat="false" ht="17.25" hidden="false" customHeight="true" outlineLevel="0" collapsed="false"/>
    <row r="9" customFormat="false" ht="15.75" hidden="false" customHeight="true" outlineLevel="0" collapsed="false">
      <c r="A9" s="23" t="s">
        <v>11</v>
      </c>
      <c r="B9" s="23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3"/>
      <c r="O9" s="23"/>
      <c r="P9" s="23"/>
      <c r="Q9" s="23"/>
      <c r="R9" s="23"/>
      <c r="S9" s="24"/>
    </row>
    <row r="10" customFormat="false" ht="15.75" hidden="false" customHeight="true" outlineLevel="0" collapsed="false">
      <c r="A10" s="25" t="s">
        <v>13</v>
      </c>
      <c r="B10" s="25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2" t="s">
        <v>14</v>
      </c>
      <c r="Q10" s="1"/>
      <c r="R10" s="1"/>
      <c r="S10" s="1"/>
    </row>
    <row r="11" customFormat="false" ht="14.25" hidden="false" customHeight="true" outlineLevel="0" collapsed="false">
      <c r="A11" s="25" t="s">
        <v>15</v>
      </c>
      <c r="B11" s="25" t="s">
        <v>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2" t="s">
        <v>16</v>
      </c>
      <c r="P11" s="2"/>
      <c r="Q11" s="26"/>
      <c r="R11" s="26"/>
      <c r="S11" s="26"/>
    </row>
    <row r="12" customFormat="false" ht="15.75" hidden="false" customHeight="true" outlineLevel="0" collapsed="false">
      <c r="A12" s="25"/>
      <c r="B12" s="25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"/>
      <c r="O12" s="25"/>
      <c r="P12" s="25"/>
      <c r="Q12" s="25"/>
      <c r="R12" s="25"/>
      <c r="S12" s="24"/>
      <c r="V12" s="28"/>
    </row>
    <row r="13" customFormat="false" ht="16.3" hidden="false" customHeight="true" outlineLevel="0" collapsed="false">
      <c r="A13" s="25" t="s">
        <v>17</v>
      </c>
      <c r="B13" s="25"/>
      <c r="C13" s="25"/>
      <c r="D13" s="25" t="s">
        <v>12</v>
      </c>
      <c r="E13" s="29"/>
      <c r="F13" s="29"/>
      <c r="G13" s="29"/>
      <c r="H13" s="29"/>
      <c r="I13" s="29"/>
      <c r="J13" s="29"/>
      <c r="K13" s="30"/>
      <c r="L13" s="31"/>
      <c r="M13" s="31"/>
      <c r="N13" s="31"/>
      <c r="O13" s="32" t="s">
        <v>18</v>
      </c>
      <c r="P13" s="32"/>
      <c r="Q13" s="32"/>
      <c r="R13" s="32"/>
      <c r="S13" s="31"/>
      <c r="T13" s="31"/>
      <c r="U13" s="31"/>
      <c r="V13" s="31"/>
    </row>
    <row r="14" customFormat="false" ht="19.1" hidden="false" customHeight="true" outlineLevel="0" collapsed="false">
      <c r="A14" s="25" t="s">
        <v>19</v>
      </c>
      <c r="B14" s="25"/>
      <c r="C14" s="25"/>
      <c r="D14" s="25" t="s">
        <v>12</v>
      </c>
      <c r="E14" s="29"/>
      <c r="F14" s="29"/>
      <c r="G14" s="29"/>
      <c r="H14" s="29"/>
      <c r="I14" s="29"/>
      <c r="J14" s="29"/>
      <c r="K14" s="31"/>
      <c r="L14" s="31"/>
      <c r="M14" s="31"/>
      <c r="N14" s="31"/>
      <c r="O14" s="32" t="s">
        <v>20</v>
      </c>
      <c r="P14" s="32"/>
      <c r="Q14" s="32"/>
      <c r="R14" s="32"/>
      <c r="S14" s="23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9.5" hidden="false" customHeight="true" outlineLevel="0" collapsed="false">
      <c r="A16" s="33" t="s">
        <v>21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customFormat="false" ht="11.25" hidden="false" customHeight="true" outlineLevel="0" collapsed="false">
      <c r="A17" s="34" t="s">
        <v>22</v>
      </c>
      <c r="B17" s="34"/>
      <c r="C17" s="34"/>
      <c r="D17" s="34"/>
      <c r="E17" s="34" t="s">
        <v>23</v>
      </c>
      <c r="F17" s="34"/>
      <c r="G17" s="34"/>
      <c r="H17" s="35" t="s">
        <v>24</v>
      </c>
      <c r="I17" s="35"/>
      <c r="J17" s="35"/>
      <c r="K17" s="35"/>
      <c r="L17" s="34" t="s">
        <v>25</v>
      </c>
      <c r="M17" s="34" t="s">
        <v>26</v>
      </c>
      <c r="N17" s="34"/>
      <c r="O17" s="34"/>
      <c r="P17" s="34"/>
      <c r="Q17" s="34"/>
      <c r="R17" s="34"/>
      <c r="S17" s="34"/>
    </row>
    <row r="18" customFormat="false" ht="11.25" hidden="false" customHeight="true" outlineLevel="0" collapsed="false">
      <c r="A18" s="34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4"/>
      <c r="M18" s="34"/>
      <c r="N18" s="34"/>
      <c r="O18" s="34"/>
      <c r="P18" s="34"/>
      <c r="Q18" s="34"/>
      <c r="R18" s="34"/>
      <c r="S18" s="34"/>
    </row>
    <row r="19" customFormat="false" ht="10.5" hidden="false" customHeight="true" outlineLevel="0" collapsed="false">
      <c r="A19" s="34"/>
      <c r="B19" s="34"/>
      <c r="C19" s="34"/>
      <c r="D19" s="34"/>
      <c r="E19" s="34"/>
      <c r="F19" s="34"/>
      <c r="G19" s="34"/>
      <c r="H19" s="35"/>
      <c r="I19" s="35"/>
      <c r="J19" s="35"/>
      <c r="K19" s="35"/>
      <c r="L19" s="34"/>
      <c r="M19" s="34"/>
      <c r="N19" s="34"/>
      <c r="O19" s="34"/>
      <c r="P19" s="34"/>
      <c r="Q19" s="34"/>
      <c r="R19" s="34"/>
      <c r="S19" s="34"/>
      <c r="Y19" s="36"/>
    </row>
    <row r="20" customFormat="false" ht="15.75" hidden="false" customHeight="true" outlineLevel="0" collapsed="false">
      <c r="A20" s="37" t="s">
        <v>27</v>
      </c>
      <c r="B20" s="37"/>
      <c r="C20" s="37"/>
      <c r="D20" s="37"/>
      <c r="E20" s="38"/>
      <c r="F20" s="38"/>
      <c r="G20" s="38"/>
      <c r="H20" s="39" t="s">
        <v>28</v>
      </c>
      <c r="I20" s="39"/>
      <c r="J20" s="39"/>
      <c r="K20" s="39"/>
      <c r="L20" s="40" t="str">
        <f aca="false">IF(AND(N(E20)&gt;=6.5, N(E20)&lt;=8.5), "PASSED", "FAILED")</f>
        <v>FAILED</v>
      </c>
      <c r="M20" s="41" t="s">
        <v>29</v>
      </c>
      <c r="N20" s="41"/>
      <c r="O20" s="41"/>
      <c r="P20" s="41"/>
      <c r="Q20" s="41"/>
      <c r="R20" s="41"/>
      <c r="S20" s="41"/>
    </row>
    <row r="21" customFormat="false" ht="15.75" hidden="false" customHeight="true" outlineLevel="0" collapsed="false">
      <c r="A21" s="37" t="s">
        <v>30</v>
      </c>
      <c r="B21" s="37"/>
      <c r="C21" s="37"/>
      <c r="D21" s="37"/>
      <c r="E21" s="38"/>
      <c r="F21" s="38"/>
      <c r="G21" s="38"/>
      <c r="H21" s="42" t="n">
        <v>5</v>
      </c>
      <c r="I21" s="42"/>
      <c r="J21" s="43" t="s">
        <v>31</v>
      </c>
      <c r="K21" s="43"/>
      <c r="L21" s="40" t="str">
        <f aca="false">IF(E21&lt;=H21, "PASSED", "FAILED")</f>
        <v>PASSED</v>
      </c>
      <c r="M21" s="41" t="s">
        <v>32</v>
      </c>
      <c r="N21" s="41"/>
      <c r="O21" s="41"/>
      <c r="P21" s="41"/>
      <c r="Q21" s="41"/>
      <c r="R21" s="41"/>
      <c r="S21" s="41"/>
    </row>
    <row r="22" customFormat="false" ht="15.75" hidden="false" customHeight="true" outlineLevel="0" collapsed="false">
      <c r="A22" s="37" t="s">
        <v>33</v>
      </c>
      <c r="B22" s="37"/>
      <c r="C22" s="37"/>
      <c r="D22" s="37"/>
      <c r="E22" s="38"/>
      <c r="F22" s="38"/>
      <c r="G22" s="38"/>
      <c r="H22" s="42" t="n">
        <v>10</v>
      </c>
      <c r="I22" s="42"/>
      <c r="J22" s="44" t="s">
        <v>34</v>
      </c>
      <c r="K22" s="44"/>
      <c r="L22" s="40" t="str">
        <f aca="false">IF(E22&lt;=H22, "PASSED", "FAILED")</f>
        <v>PASSED</v>
      </c>
      <c r="M22" s="41" t="s">
        <v>35</v>
      </c>
      <c r="N22" s="41"/>
      <c r="O22" s="41"/>
      <c r="P22" s="41"/>
      <c r="Q22" s="41"/>
      <c r="R22" s="41"/>
      <c r="S22" s="41"/>
    </row>
    <row r="23" customFormat="false" ht="15.75" hidden="false" customHeight="true" outlineLevel="0" collapsed="false">
      <c r="A23" s="37" t="s">
        <v>36</v>
      </c>
      <c r="B23" s="37"/>
      <c r="C23" s="37"/>
      <c r="D23" s="37"/>
      <c r="E23" s="38"/>
      <c r="F23" s="38"/>
      <c r="G23" s="38"/>
      <c r="H23" s="42" t="n">
        <v>1</v>
      </c>
      <c r="I23" s="42"/>
      <c r="J23" s="44" t="s">
        <v>37</v>
      </c>
      <c r="K23" s="44"/>
      <c r="L23" s="40" t="str">
        <f aca="false">IF(E23&lt;=H23, "PASSED", "FAILED")</f>
        <v>PASSED</v>
      </c>
      <c r="M23" s="41" t="s">
        <v>38</v>
      </c>
      <c r="N23" s="41"/>
      <c r="O23" s="41"/>
      <c r="P23" s="41"/>
      <c r="Q23" s="41"/>
      <c r="R23" s="41"/>
      <c r="S23" s="41"/>
    </row>
    <row r="24" customFormat="false" ht="15.75" hidden="false" customHeight="true" outlineLevel="0" collapsed="false">
      <c r="A24" s="37" t="s">
        <v>39</v>
      </c>
      <c r="B24" s="37"/>
      <c r="C24" s="37"/>
      <c r="D24" s="37"/>
      <c r="E24" s="38"/>
      <c r="F24" s="38"/>
      <c r="G24" s="38"/>
      <c r="H24" s="42" t="n">
        <v>250</v>
      </c>
      <c r="I24" s="42"/>
      <c r="J24" s="43" t="s">
        <v>37</v>
      </c>
      <c r="K24" s="43"/>
      <c r="L24" s="40" t="str">
        <f aca="false">IF(E24&lt;=H24, "PASSED", "FAILED")</f>
        <v>PASSED</v>
      </c>
      <c r="M24" s="41" t="s">
        <v>40</v>
      </c>
      <c r="N24" s="41"/>
      <c r="O24" s="41"/>
      <c r="P24" s="41"/>
      <c r="Q24" s="41"/>
      <c r="R24" s="41"/>
      <c r="S24" s="41"/>
    </row>
    <row r="25" customFormat="false" ht="15.75" hidden="false" customHeight="true" outlineLevel="0" collapsed="false">
      <c r="A25" s="37" t="s">
        <v>41</v>
      </c>
      <c r="B25" s="37"/>
      <c r="C25" s="37"/>
      <c r="D25" s="37"/>
      <c r="E25" s="38"/>
      <c r="F25" s="38"/>
      <c r="G25" s="38"/>
      <c r="H25" s="42" t="n">
        <v>1</v>
      </c>
      <c r="I25" s="42"/>
      <c r="J25" s="44" t="s">
        <v>37</v>
      </c>
      <c r="K25" s="44"/>
      <c r="L25" s="40" t="str">
        <f aca="false">IF(E25&lt;=H25, "PASSED", "FAILED")</f>
        <v>PASSED</v>
      </c>
      <c r="M25" s="41" t="s">
        <v>42</v>
      </c>
      <c r="N25" s="41"/>
      <c r="O25" s="41"/>
      <c r="P25" s="41"/>
      <c r="Q25" s="41"/>
      <c r="R25" s="41"/>
      <c r="S25" s="41"/>
    </row>
    <row r="26" customFormat="false" ht="15.75" hidden="false" customHeight="true" outlineLevel="0" collapsed="false">
      <c r="A26" s="37" t="s">
        <v>43</v>
      </c>
      <c r="B26" s="37"/>
      <c r="C26" s="37"/>
      <c r="D26" s="37"/>
      <c r="E26" s="38"/>
      <c r="F26" s="38"/>
      <c r="G26" s="38"/>
      <c r="H26" s="42" t="n">
        <v>0.05</v>
      </c>
      <c r="I26" s="42"/>
      <c r="J26" s="43" t="s">
        <v>37</v>
      </c>
      <c r="K26" s="43"/>
      <c r="L26" s="40" t="str">
        <f aca="false">IF(E26&lt;=H26, "PASSED", "FAILED")</f>
        <v>PASSED</v>
      </c>
      <c r="M26" s="41" t="s">
        <v>44</v>
      </c>
      <c r="N26" s="41"/>
      <c r="O26" s="41"/>
      <c r="P26" s="41"/>
      <c r="Q26" s="41"/>
      <c r="R26" s="41"/>
      <c r="S26" s="41"/>
    </row>
    <row r="27" customFormat="false" ht="15.75" hidden="false" customHeight="true" outlineLevel="0" collapsed="false">
      <c r="A27" s="37" t="s">
        <v>45</v>
      </c>
      <c r="B27" s="37"/>
      <c r="C27" s="37"/>
      <c r="D27" s="37"/>
      <c r="E27" s="38"/>
      <c r="F27" s="38"/>
      <c r="G27" s="38"/>
      <c r="H27" s="42" t="n">
        <v>0.4</v>
      </c>
      <c r="I27" s="42"/>
      <c r="J27" s="44" t="s">
        <v>37</v>
      </c>
      <c r="K27" s="44"/>
      <c r="L27" s="40" t="str">
        <f aca="false">IF(E27&lt;=H27, "PASSED", "FAILED")</f>
        <v>PASSED</v>
      </c>
      <c r="M27" s="41" t="s">
        <v>46</v>
      </c>
      <c r="N27" s="41"/>
      <c r="O27" s="41"/>
      <c r="P27" s="41"/>
      <c r="Q27" s="41"/>
      <c r="R27" s="41"/>
      <c r="S27" s="41"/>
    </row>
    <row r="28" customFormat="false" ht="15" hidden="false" customHeight="true" outlineLevel="0" collapsed="false">
      <c r="A28" s="37" t="s">
        <v>47</v>
      </c>
      <c r="B28" s="37"/>
      <c r="C28" s="37"/>
      <c r="D28" s="37"/>
      <c r="E28" s="38"/>
      <c r="F28" s="38"/>
      <c r="G28" s="38"/>
      <c r="H28" s="42" t="n">
        <v>300</v>
      </c>
      <c r="I28" s="42"/>
      <c r="J28" s="43" t="s">
        <v>37</v>
      </c>
      <c r="K28" s="43"/>
      <c r="L28" s="40" t="str">
        <f aca="false">IF(E28&lt;=H28, "PASSED", "FAILED")</f>
        <v>PASSED</v>
      </c>
      <c r="M28" s="41" t="s">
        <v>48</v>
      </c>
      <c r="N28" s="41"/>
      <c r="O28" s="41"/>
      <c r="P28" s="41"/>
      <c r="Q28" s="41"/>
      <c r="R28" s="41"/>
      <c r="S28" s="41"/>
    </row>
    <row r="29" customFormat="false" ht="15" hidden="false" customHeight="true" outlineLevel="0" collapsed="false">
      <c r="A29" s="37" t="s">
        <v>49</v>
      </c>
      <c r="B29" s="37"/>
      <c r="C29" s="37"/>
      <c r="D29" s="37"/>
      <c r="E29" s="38"/>
      <c r="F29" s="38"/>
      <c r="G29" s="38"/>
      <c r="H29" s="42" t="n">
        <v>250</v>
      </c>
      <c r="I29" s="42"/>
      <c r="J29" s="44" t="s">
        <v>37</v>
      </c>
      <c r="K29" s="44"/>
      <c r="L29" s="40" t="str">
        <f aca="false">IF(E29&lt;=H29, "PASSED", "FAILED")</f>
        <v>PASSED</v>
      </c>
      <c r="M29" s="41" t="s">
        <v>50</v>
      </c>
      <c r="N29" s="41"/>
      <c r="O29" s="41"/>
      <c r="P29" s="41"/>
      <c r="Q29" s="41"/>
      <c r="R29" s="41"/>
      <c r="S29" s="41"/>
    </row>
    <row r="30" customFormat="false" ht="16.5" hidden="false" customHeight="true" outlineLevel="0" collapsed="false">
      <c r="A30" s="37" t="s">
        <v>51</v>
      </c>
      <c r="B30" s="37"/>
      <c r="C30" s="37"/>
      <c r="D30" s="37"/>
      <c r="E30" s="38"/>
      <c r="F30" s="38"/>
      <c r="G30" s="38"/>
      <c r="H30" s="42" t="n">
        <v>50</v>
      </c>
      <c r="I30" s="42"/>
      <c r="J30" s="44" t="s">
        <v>37</v>
      </c>
      <c r="K30" s="44"/>
      <c r="L30" s="40" t="str">
        <f aca="false">IF(E30&lt;=H30, "PASSED", "FAILED")</f>
        <v>PASSED</v>
      </c>
      <c r="M30" s="41" t="s">
        <v>52</v>
      </c>
      <c r="N30" s="41"/>
      <c r="O30" s="41"/>
      <c r="P30" s="41"/>
      <c r="Q30" s="41"/>
      <c r="R30" s="41"/>
      <c r="S30" s="41"/>
      <c r="U30" s="45"/>
    </row>
    <row r="31" customFormat="false" ht="16.5" hidden="false" customHeight="true" outlineLevel="0" collapsed="false">
      <c r="A31" s="37" t="s">
        <v>53</v>
      </c>
      <c r="B31" s="37"/>
      <c r="C31" s="37"/>
      <c r="D31" s="37"/>
      <c r="E31" s="46"/>
      <c r="F31" s="46"/>
      <c r="G31" s="46"/>
      <c r="H31" s="42" t="n">
        <v>3</v>
      </c>
      <c r="I31" s="42"/>
      <c r="J31" s="44" t="s">
        <v>37</v>
      </c>
      <c r="K31" s="44"/>
      <c r="L31" s="40" t="str">
        <f aca="false">IF(E31&lt;=H31, "PASSED", "FAILED")</f>
        <v>PASSED</v>
      </c>
      <c r="M31" s="41" t="s">
        <v>54</v>
      </c>
      <c r="N31" s="41"/>
      <c r="O31" s="41"/>
      <c r="P31" s="41"/>
      <c r="Q31" s="41"/>
      <c r="R31" s="41"/>
      <c r="S31" s="41"/>
      <c r="U31" s="45"/>
    </row>
    <row r="32" customFormat="false" ht="16.5" hidden="false" customHeight="true" outlineLevel="0" collapsed="false">
      <c r="A32" s="37" t="s">
        <v>55</v>
      </c>
      <c r="B32" s="37"/>
      <c r="C32" s="37"/>
      <c r="D32" s="37"/>
      <c r="E32" s="38"/>
      <c r="F32" s="38"/>
      <c r="G32" s="38"/>
      <c r="H32" s="42" t="n">
        <v>600</v>
      </c>
      <c r="I32" s="42"/>
      <c r="J32" s="44" t="s">
        <v>37</v>
      </c>
      <c r="K32" s="44"/>
      <c r="L32" s="40" t="str">
        <f aca="false">IF(E32&lt;=H32, "PASSED", "FAILED")</f>
        <v>PASSED</v>
      </c>
      <c r="M32" s="41" t="s">
        <v>56</v>
      </c>
      <c r="N32" s="41"/>
      <c r="O32" s="41"/>
      <c r="P32" s="41"/>
      <c r="Q32" s="41"/>
      <c r="R32" s="41"/>
      <c r="S32" s="41"/>
      <c r="U32" s="45"/>
    </row>
    <row r="33" customFormat="false" ht="15" hidden="false" customHeight="false" outlineLevel="0" collapsed="false">
      <c r="A33" s="47" t="s">
        <v>57</v>
      </c>
      <c r="B33" s="47"/>
      <c r="C33" s="47"/>
      <c r="D33" s="47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U33" s="25"/>
      <c r="V33" s="25"/>
      <c r="W33" s="25"/>
      <c r="X33" s="25"/>
      <c r="Y33" s="25"/>
      <c r="Z33" s="25"/>
      <c r="AA33" s="25"/>
      <c r="AB33" s="25"/>
      <c r="AC33" s="25"/>
      <c r="AD33" s="1"/>
      <c r="AE33" s="1"/>
      <c r="AF33" s="1"/>
      <c r="AG33" s="1"/>
      <c r="AH33" s="1"/>
      <c r="AI33" s="1"/>
      <c r="AJ33" s="2"/>
      <c r="AK33" s="24"/>
    </row>
    <row r="34" customFormat="false" ht="15" hidden="false" customHeight="false" outlineLevel="0" collapsed="false">
      <c r="A34" s="49"/>
      <c r="B34" s="50"/>
      <c r="C34" s="50"/>
      <c r="D34" s="50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4"/>
      <c r="AF34" s="24"/>
      <c r="AG34" s="24"/>
      <c r="AH34" s="24"/>
      <c r="AI34" s="24"/>
      <c r="AJ34" s="24"/>
      <c r="AK34" s="24"/>
    </row>
    <row r="35" customFormat="false" ht="15" hidden="false" customHeight="true" outlineLevel="0" collapsed="false">
      <c r="A35" s="51" t="s">
        <v>58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4"/>
      <c r="AF35" s="24"/>
      <c r="AG35" s="24"/>
      <c r="AH35" s="24"/>
      <c r="AI35" s="24"/>
      <c r="AJ35" s="24"/>
      <c r="AK35" s="24"/>
    </row>
    <row r="36" customFormat="false" ht="17.35" hidden="false" customHeight="false" outlineLevel="0" collapsed="false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U36" s="25"/>
      <c r="V36" s="52"/>
      <c r="W36" s="52"/>
      <c r="X36" s="52"/>
      <c r="Y36" s="52"/>
      <c r="Z36" s="52"/>
      <c r="AA36" s="52"/>
      <c r="AB36" s="23"/>
      <c r="AC36" s="23"/>
      <c r="AD36" s="25"/>
      <c r="AE36" s="52"/>
      <c r="AF36" s="52"/>
      <c r="AG36" s="52"/>
      <c r="AH36" s="52"/>
      <c r="AI36" s="52"/>
      <c r="AJ36" s="52"/>
      <c r="AK36" s="52"/>
    </row>
    <row r="37" customFormat="false" ht="15" hidden="false" customHeight="false" outlineLevel="0" collapsed="false">
      <c r="A37" s="53" t="s">
        <v>59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U37" s="25"/>
      <c r="V37" s="1"/>
      <c r="W37" s="1"/>
      <c r="X37" s="1"/>
      <c r="Y37" s="1"/>
      <c r="Z37" s="1"/>
      <c r="AA37" s="1"/>
      <c r="AB37" s="23"/>
      <c r="AC37" s="23"/>
      <c r="AD37" s="25"/>
      <c r="AE37" s="2"/>
      <c r="AF37" s="2"/>
      <c r="AG37" s="2"/>
      <c r="AH37" s="2"/>
      <c r="AI37" s="2"/>
      <c r="AJ37" s="2"/>
      <c r="AK37" s="2"/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4"/>
      <c r="N38" s="24"/>
      <c r="O38" s="24"/>
      <c r="P38" s="24"/>
      <c r="Q38" s="24"/>
      <c r="R38" s="24"/>
      <c r="S38" s="24"/>
      <c r="U38" s="54"/>
      <c r="V38" s="54"/>
      <c r="W38" s="54"/>
      <c r="X38" s="54"/>
      <c r="Y38" s="54"/>
      <c r="Z38" s="54"/>
      <c r="AA38" s="54"/>
      <c r="AB38" s="25"/>
      <c r="AC38" s="25"/>
      <c r="AD38" s="25"/>
      <c r="AE38" s="25"/>
      <c r="AF38" s="25"/>
      <c r="AG38" s="25"/>
      <c r="AH38" s="25"/>
      <c r="AI38" s="25"/>
      <c r="AJ38" s="25"/>
      <c r="AK38" s="24"/>
    </row>
    <row r="39" customFormat="false" ht="15" hidden="false" customHeight="false" outlineLevel="0" collapsed="false">
      <c r="A39" s="25" t="s">
        <v>60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 t="s">
        <v>61</v>
      </c>
      <c r="M39" s="23"/>
      <c r="N39" s="23"/>
      <c r="O39" s="23"/>
      <c r="P39" s="23"/>
      <c r="Q39" s="23"/>
      <c r="R39" s="2"/>
      <c r="S39" s="24"/>
      <c r="U39" s="54"/>
      <c r="V39" s="54"/>
      <c r="W39" s="54"/>
      <c r="X39" s="54"/>
      <c r="Y39" s="54"/>
      <c r="Z39" s="54"/>
      <c r="AA39" s="54"/>
      <c r="AB39" s="25"/>
      <c r="AC39" s="25"/>
      <c r="AD39" s="25"/>
      <c r="AE39" s="25"/>
      <c r="AF39" s="25"/>
      <c r="AG39" s="25"/>
      <c r="AH39" s="25"/>
      <c r="AI39" s="25"/>
      <c r="AJ39" s="25"/>
      <c r="AK39" s="24"/>
    </row>
    <row r="40" customFormat="false" ht="17.35" hidden="false" customHeight="fals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4"/>
      <c r="N40" s="24"/>
      <c r="O40" s="24"/>
      <c r="P40" s="24"/>
      <c r="Q40" s="24"/>
      <c r="R40" s="24"/>
      <c r="S40" s="24"/>
      <c r="U40" s="55"/>
      <c r="V40" s="56"/>
      <c r="W40" s="56"/>
      <c r="X40" s="56"/>
      <c r="Y40" s="56"/>
      <c r="Z40" s="56"/>
      <c r="AA40" s="57"/>
      <c r="AB40" s="23"/>
      <c r="AC40" s="23"/>
      <c r="AD40" s="25"/>
      <c r="AE40" s="52"/>
      <c r="AF40" s="52"/>
      <c r="AG40" s="52"/>
      <c r="AH40" s="52"/>
      <c r="AI40" s="52"/>
      <c r="AJ40" s="52"/>
      <c r="AK40" s="52"/>
    </row>
    <row r="41" customFormat="false" ht="15" hidden="false" customHeight="fals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4"/>
      <c r="N41" s="24"/>
      <c r="O41" s="24"/>
      <c r="P41" s="24"/>
      <c r="Q41" s="24"/>
      <c r="R41" s="24"/>
      <c r="S41" s="24"/>
      <c r="U41" s="54"/>
      <c r="V41" s="56"/>
      <c r="W41" s="56"/>
      <c r="X41" s="56"/>
      <c r="Y41" s="56"/>
      <c r="Z41" s="56"/>
      <c r="AA41" s="57"/>
      <c r="AB41" s="23"/>
      <c r="AC41" s="23"/>
      <c r="AD41" s="25"/>
      <c r="AE41" s="50"/>
      <c r="AF41" s="50"/>
      <c r="AG41" s="50"/>
      <c r="AH41" s="50"/>
      <c r="AI41" s="50"/>
      <c r="AJ41" s="50"/>
      <c r="AK41" s="50"/>
    </row>
    <row r="42" customFormat="false" ht="17.35" hidden="false" customHeight="false" outlineLevel="0" collapsed="false">
      <c r="A42" s="25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23"/>
      <c r="M42" s="59" t="s">
        <v>62</v>
      </c>
      <c r="N42" s="59"/>
      <c r="O42" s="59"/>
      <c r="P42" s="59"/>
      <c r="Q42" s="59"/>
      <c r="R42" s="59"/>
      <c r="S42" s="59"/>
    </row>
    <row r="43" customFormat="false" ht="15.65" hidden="false" customHeight="false" outlineLevel="0" collapsed="false">
      <c r="A43" s="25"/>
      <c r="B43" s="60"/>
      <c r="C43" s="60"/>
      <c r="D43" s="60"/>
      <c r="E43" s="60"/>
      <c r="F43" s="60"/>
      <c r="G43" s="60"/>
      <c r="H43" s="60"/>
      <c r="I43" s="60"/>
      <c r="J43" s="23"/>
      <c r="K43" s="2"/>
      <c r="L43" s="23"/>
      <c r="M43" s="61" t="s">
        <v>63</v>
      </c>
      <c r="N43" s="2"/>
      <c r="O43" s="2"/>
      <c r="P43" s="2"/>
      <c r="Q43" s="2"/>
      <c r="R43" s="2"/>
      <c r="S43" s="2"/>
    </row>
    <row r="44" customFormat="false" ht="15" hidden="false" customHeight="false" outlineLevel="0" collapsed="false">
      <c r="A44" s="25"/>
      <c r="B44" s="23"/>
      <c r="C44" s="23"/>
      <c r="D44" s="23"/>
      <c r="E44" s="23"/>
      <c r="F44" s="23"/>
      <c r="G44" s="23"/>
      <c r="H44" s="23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4"/>
    </row>
    <row r="45" customFormat="false" ht="17.35" hidden="false" customHeight="false" outlineLevel="0" collapsed="false">
      <c r="A45" s="55"/>
      <c r="B45" s="56"/>
      <c r="C45" s="56"/>
      <c r="D45" s="56"/>
      <c r="E45" s="56"/>
      <c r="F45" s="56"/>
      <c r="G45" s="56"/>
      <c r="H45" s="56"/>
      <c r="I45" s="57"/>
      <c r="J45" s="57"/>
      <c r="K45" s="57"/>
      <c r="L45" s="23"/>
      <c r="M45" s="18"/>
      <c r="N45" s="18"/>
      <c r="O45" s="18"/>
      <c r="P45" s="18"/>
      <c r="Q45" s="18"/>
      <c r="R45" s="18"/>
      <c r="S45" s="18"/>
    </row>
    <row r="46" customFormat="false" ht="15" hidden="false" customHeight="false" outlineLevel="0" collapsed="false">
      <c r="A46" s="54"/>
      <c r="B46" s="56"/>
      <c r="C46" s="56"/>
      <c r="D46" s="56"/>
      <c r="E46" s="56"/>
      <c r="F46" s="56"/>
      <c r="G46" s="56"/>
      <c r="H46" s="56"/>
      <c r="I46" s="57"/>
      <c r="J46" s="57"/>
      <c r="K46" s="57"/>
      <c r="L46" s="23"/>
      <c r="M46" s="62"/>
      <c r="N46" s="62"/>
      <c r="O46" s="62"/>
      <c r="P46" s="62"/>
      <c r="Q46" s="62"/>
      <c r="R46" s="62"/>
      <c r="S46" s="63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64"/>
      <c r="N47" s="64"/>
      <c r="O47" s="64"/>
      <c r="P47" s="64"/>
      <c r="Q47" s="64"/>
      <c r="R47" s="64"/>
      <c r="S47" s="65"/>
    </row>
  </sheetData>
  <mergeCells count="114">
    <mergeCell ref="A1:H1"/>
    <mergeCell ref="N1:S1"/>
    <mergeCell ref="V1:AA1"/>
    <mergeCell ref="N2:S2"/>
    <mergeCell ref="V2:AA2"/>
    <mergeCell ref="A3:H3"/>
    <mergeCell ref="N3:S3"/>
    <mergeCell ref="V3:AA3"/>
    <mergeCell ref="N4:S4"/>
    <mergeCell ref="V4:AA4"/>
    <mergeCell ref="H5:L5"/>
    <mergeCell ref="M5:S5"/>
    <mergeCell ref="H6:N6"/>
    <mergeCell ref="O6:S6"/>
    <mergeCell ref="C9:M9"/>
    <mergeCell ref="C10:M10"/>
    <mergeCell ref="Q10:S10"/>
    <mergeCell ref="C11:M11"/>
    <mergeCell ref="Q11:S11"/>
    <mergeCell ref="C12:M12"/>
    <mergeCell ref="E13:J13"/>
    <mergeCell ref="O13:R13"/>
    <mergeCell ref="E14:J14"/>
    <mergeCell ref="O14:R14"/>
    <mergeCell ref="A16:S16"/>
    <mergeCell ref="A17:D19"/>
    <mergeCell ref="E17:G19"/>
    <mergeCell ref="H17:K19"/>
    <mergeCell ref="L17:L19"/>
    <mergeCell ref="M17:S19"/>
    <mergeCell ref="A20:D20"/>
    <mergeCell ref="E20:G20"/>
    <mergeCell ref="H20:K20"/>
    <mergeCell ref="M20:S20"/>
    <mergeCell ref="A21:D21"/>
    <mergeCell ref="E21:G21"/>
    <mergeCell ref="H21:I21"/>
    <mergeCell ref="J21:K21"/>
    <mergeCell ref="M21:S21"/>
    <mergeCell ref="A22:D22"/>
    <mergeCell ref="E22:G22"/>
    <mergeCell ref="H22:I22"/>
    <mergeCell ref="J22:K22"/>
    <mergeCell ref="M22:S22"/>
    <mergeCell ref="A23:D23"/>
    <mergeCell ref="E23:G23"/>
    <mergeCell ref="H23:I23"/>
    <mergeCell ref="J23:K23"/>
    <mergeCell ref="M23:S23"/>
    <mergeCell ref="A24:D24"/>
    <mergeCell ref="E24:G24"/>
    <mergeCell ref="H24:I24"/>
    <mergeCell ref="J24:K24"/>
    <mergeCell ref="M24:S24"/>
    <mergeCell ref="A25:D25"/>
    <mergeCell ref="E25:G25"/>
    <mergeCell ref="H25:I25"/>
    <mergeCell ref="J25:K25"/>
    <mergeCell ref="M25:S25"/>
    <mergeCell ref="A26:D26"/>
    <mergeCell ref="E26:G26"/>
    <mergeCell ref="H26:I26"/>
    <mergeCell ref="J26:K26"/>
    <mergeCell ref="M26:S26"/>
    <mergeCell ref="A27:D27"/>
    <mergeCell ref="E27:G27"/>
    <mergeCell ref="H27:I27"/>
    <mergeCell ref="J27:K27"/>
    <mergeCell ref="M27:S27"/>
    <mergeCell ref="A28:D28"/>
    <mergeCell ref="E28:G28"/>
    <mergeCell ref="H28:I28"/>
    <mergeCell ref="J28:K28"/>
    <mergeCell ref="M28:S28"/>
    <mergeCell ref="A29:D29"/>
    <mergeCell ref="E29:G29"/>
    <mergeCell ref="H29:I29"/>
    <mergeCell ref="J29:K29"/>
    <mergeCell ref="M29:S29"/>
    <mergeCell ref="A30:D30"/>
    <mergeCell ref="E30:G30"/>
    <mergeCell ref="H30:I30"/>
    <mergeCell ref="J30:K30"/>
    <mergeCell ref="M30:S30"/>
    <mergeCell ref="A31:D31"/>
    <mergeCell ref="E31:G31"/>
    <mergeCell ref="H31:I31"/>
    <mergeCell ref="J31:K31"/>
    <mergeCell ref="M31:S31"/>
    <mergeCell ref="A32:D32"/>
    <mergeCell ref="E32:G32"/>
    <mergeCell ref="H32:I32"/>
    <mergeCell ref="J32:K32"/>
    <mergeCell ref="M32:S32"/>
    <mergeCell ref="A33:D33"/>
    <mergeCell ref="E33:S34"/>
    <mergeCell ref="AD33:AI33"/>
    <mergeCell ref="A35:S36"/>
    <mergeCell ref="V36:AA36"/>
    <mergeCell ref="AE36:AK36"/>
    <mergeCell ref="A37:L37"/>
    <mergeCell ref="V37:AA37"/>
    <mergeCell ref="V40:Z40"/>
    <mergeCell ref="AE40:AK40"/>
    <mergeCell ref="V41:Z41"/>
    <mergeCell ref="AE41:AK41"/>
    <mergeCell ref="B42:I42"/>
    <mergeCell ref="M42:S42"/>
    <mergeCell ref="B43:I43"/>
    <mergeCell ref="B45:H45"/>
    <mergeCell ref="M45:S45"/>
    <mergeCell ref="B46:H46"/>
    <mergeCell ref="M46:R46"/>
    <mergeCell ref="M47:R4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2025-10-12T20:17:18Z</dcterms:created>
  <dc:creator/>
  <dc:description/>
  <dc:language>en-US</dc:language>
  <cp:lastModifiedBy/>
  <dcterms:modified xsi:type="dcterms:W3CDTF">2025-10-13T19:12:37Z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